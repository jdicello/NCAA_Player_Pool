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hchicago-my.sharepoint.com/personal/jdicello_archchicago_org/Documents/Documents/NCAA_Player_Pool/input/"/>
    </mc:Choice>
  </mc:AlternateContent>
  <xr:revisionPtr revIDLastSave="20" documentId="8_{ED607DF6-472A-42EC-974A-DDB7BA38AB71}" xr6:coauthVersionLast="47" xr6:coauthVersionMax="47" xr10:uidLastSave="{A060AD23-260C-4D7B-A57D-E6F021A82C72}"/>
  <bookViews>
    <workbookView xWindow="-120" yWindow="-120" windowWidth="29040" windowHeight="17520" activeTab="1" xr2:uid="{F35FE30F-15DC-454C-B310-571CBFED4DA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</calcChain>
</file>

<file path=xl/sharedStrings.xml><?xml version="1.0" encoding="utf-8"?>
<sst xmlns="http://schemas.openxmlformats.org/spreadsheetml/2006/main" count="216" uniqueCount="146">
  <si>
    <t>espn_name</t>
  </si>
  <si>
    <t>kenpom_name</t>
  </si>
  <si>
    <t>adj_em</t>
  </si>
  <si>
    <t>Akron Zips</t>
  </si>
  <si>
    <t>Akron</t>
  </si>
  <si>
    <t>Alabama Crimson Tide</t>
  </si>
  <si>
    <t>Alabama</t>
  </si>
  <si>
    <t>Arizona Wildcats</t>
  </si>
  <si>
    <t>Arizona</t>
  </si>
  <si>
    <t>Arkansas Razorbacks</t>
  </si>
  <si>
    <t>Arkansas</t>
  </si>
  <si>
    <t>BYU Cougars</t>
  </si>
  <si>
    <t>BYU</t>
  </si>
  <si>
    <t>California Baptist Lancers</t>
  </si>
  <si>
    <t>Cal Baptist</t>
  </si>
  <si>
    <t>Clemson Tigers</t>
  </si>
  <si>
    <t>Clemson</t>
  </si>
  <si>
    <t>Duke Blue Devils</t>
  </si>
  <si>
    <t>Duke</t>
  </si>
  <si>
    <t>Florida Gators</t>
  </si>
  <si>
    <t>Florida</t>
  </si>
  <si>
    <t>Furman Paladins</t>
  </si>
  <si>
    <t>Furman</t>
  </si>
  <si>
    <t>Georgia Bulldogs</t>
  </si>
  <si>
    <t>Georgia</t>
  </si>
  <si>
    <t>Gonzaga Bulldogs</t>
  </si>
  <si>
    <t>Gonzaga</t>
  </si>
  <si>
    <t>Hawai'i Rainbow Warriors</t>
  </si>
  <si>
    <t>Hawaii</t>
  </si>
  <si>
    <t>High Point Panthers</t>
  </si>
  <si>
    <t>High Point</t>
  </si>
  <si>
    <t>Hofstra Pride</t>
  </si>
  <si>
    <t>Hofstra</t>
  </si>
  <si>
    <t>Houston Cougars</t>
  </si>
  <si>
    <t>Houston</t>
  </si>
  <si>
    <t>Howard Bison</t>
  </si>
  <si>
    <t>Howard</t>
  </si>
  <si>
    <t>Idaho Vandals</t>
  </si>
  <si>
    <t>Idaho</t>
  </si>
  <si>
    <t>Illinois Fighting Illini</t>
  </si>
  <si>
    <t>Illinois</t>
  </si>
  <si>
    <t>Iowa Hawkeyes</t>
  </si>
  <si>
    <t>Iowa</t>
  </si>
  <si>
    <t>Iowa State Cyclones</t>
  </si>
  <si>
    <t>Iowa St.</t>
  </si>
  <si>
    <t>Kansas Jayhawks</t>
  </si>
  <si>
    <t>Kansas</t>
  </si>
  <si>
    <t>Kennesaw State Owls</t>
  </si>
  <si>
    <t>Kennesaw St.</t>
  </si>
  <si>
    <t>Kentucky Wildcats</t>
  </si>
  <si>
    <t>Kentucky</t>
  </si>
  <si>
    <t>Lehigh Mountain Hawks</t>
  </si>
  <si>
    <t>Lehigh</t>
  </si>
  <si>
    <t>Long Island University Sharks</t>
  </si>
  <si>
    <t>LIU</t>
  </si>
  <si>
    <t>Louisville Cardinals</t>
  </si>
  <si>
    <t>Louisville</t>
  </si>
  <si>
    <t>McNeese Cowboys</t>
  </si>
  <si>
    <t>McNeese</t>
  </si>
  <si>
    <t>Miami (OH) RedHawks</t>
  </si>
  <si>
    <t>Miami OH</t>
  </si>
  <si>
    <t>Miami Hurricanes</t>
  </si>
  <si>
    <t>Miami FL</t>
  </si>
  <si>
    <t>Michigan State Spartans</t>
  </si>
  <si>
    <t>Michigan St.</t>
  </si>
  <si>
    <t>Michigan Wolverines</t>
  </si>
  <si>
    <t>Michigan</t>
  </si>
  <si>
    <t>Missouri Tigers</t>
  </si>
  <si>
    <t>Missouri</t>
  </si>
  <si>
    <t>NC State Wolfpack</t>
  </si>
  <si>
    <t>N.C. State</t>
  </si>
  <si>
    <t>Nebraska Cornhuskers</t>
  </si>
  <si>
    <t>Nebraska</t>
  </si>
  <si>
    <t>North Carolina Tar Heels</t>
  </si>
  <si>
    <t>North Carolina</t>
  </si>
  <si>
    <t>North Dakota State Bison</t>
  </si>
  <si>
    <t>North Dakota St.</t>
  </si>
  <si>
    <t>Northern Iowa Panthers</t>
  </si>
  <si>
    <t>Northern Iowa</t>
  </si>
  <si>
    <t>Ohio State Buckeyes</t>
  </si>
  <si>
    <t>Ohio St.</t>
  </si>
  <si>
    <t>Pennsylvania Quakers</t>
  </si>
  <si>
    <t>Penn</t>
  </si>
  <si>
    <t>Prairie View A&amp;M Panthers</t>
  </si>
  <si>
    <t>Prairie View A&amp;M</t>
  </si>
  <si>
    <t>Purdue Boilermakers</t>
  </si>
  <si>
    <t>Purdue</t>
  </si>
  <si>
    <t>Queens University Royals</t>
  </si>
  <si>
    <t>Queens</t>
  </si>
  <si>
    <t>SMU Mustangs</t>
  </si>
  <si>
    <t>SMU</t>
  </si>
  <si>
    <t>Saint Louis Billikens</t>
  </si>
  <si>
    <t>Saint Louis</t>
  </si>
  <si>
    <t>Saint Mary's Gaels</t>
  </si>
  <si>
    <t>Saint Mary's</t>
  </si>
  <si>
    <t>Santa Clara Broncos</t>
  </si>
  <si>
    <t>Santa Clara</t>
  </si>
  <si>
    <t>Siena Saints</t>
  </si>
  <si>
    <t>Siena</t>
  </si>
  <si>
    <t>South Florida Bulls</t>
  </si>
  <si>
    <t>South Florida</t>
  </si>
  <si>
    <t>St. John's Red Storm</t>
  </si>
  <si>
    <t>St. John's</t>
  </si>
  <si>
    <t>TCU Horned Frogs</t>
  </si>
  <si>
    <t>TCU</t>
  </si>
  <si>
    <t>Tennessee State Tigers</t>
  </si>
  <si>
    <t>Tennessee St.</t>
  </si>
  <si>
    <t>Tennessee Volunteers</t>
  </si>
  <si>
    <t>Tennessee</t>
  </si>
  <si>
    <t>Texas A&amp;M Aggies</t>
  </si>
  <si>
    <t>Texas A&amp;M</t>
  </si>
  <si>
    <t>Texas Longhorns</t>
  </si>
  <si>
    <t>Texas</t>
  </si>
  <si>
    <t>Texas Tech Red Raiders</t>
  </si>
  <si>
    <t>Texas Tech</t>
  </si>
  <si>
    <t>Troy Trojans</t>
  </si>
  <si>
    <t>Troy</t>
  </si>
  <si>
    <t>UCF Knights</t>
  </si>
  <si>
    <t>UCF</t>
  </si>
  <si>
    <t>UCLA Bruins</t>
  </si>
  <si>
    <t>UCLA</t>
  </si>
  <si>
    <t>UConn Huskies</t>
  </si>
  <si>
    <t>Connecticut</t>
  </si>
  <si>
    <t>UMBC Retrievers</t>
  </si>
  <si>
    <t>UMBC</t>
  </si>
  <si>
    <t>Utah State Aggies</t>
  </si>
  <si>
    <t>Utah St.</t>
  </si>
  <si>
    <t>VCU Rams</t>
  </si>
  <si>
    <t>VCU</t>
  </si>
  <si>
    <t>Vanderbilt Commodores</t>
  </si>
  <si>
    <t>Vanderbilt</t>
  </si>
  <si>
    <t>Villanova Wildcats</t>
  </si>
  <si>
    <t>Villanova</t>
  </si>
  <si>
    <t>Virginia Cavaliers</t>
  </si>
  <si>
    <t>Virginia</t>
  </si>
  <si>
    <t>Wisconsin Badgers</t>
  </si>
  <si>
    <t>Wisconsin</t>
  </si>
  <si>
    <t>Wright State Raiders</t>
  </si>
  <si>
    <t>Wright St.</t>
  </si>
  <si>
    <t>rd2_pct</t>
  </si>
  <si>
    <t>s16_pct</t>
  </si>
  <si>
    <t>e8_pct</t>
  </si>
  <si>
    <t>f4_pct</t>
  </si>
  <si>
    <t>final_pct</t>
  </si>
  <si>
    <t>champ_pct</t>
  </si>
  <si>
    <t>NumGames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</si>
</sst>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5538-1C62-4AC3-8393-6A642A9135CE}">
  <dimension ref="A1:C69"/>
  <sheetViews>
    <sheetView workbookViewId="0">
      <selection activeCell="G21" sqref="G21"/>
    </sheetView>
  </sheetViews>
  <sheetFormatPr defaultRowHeight="15" x14ac:dyDescent="0.25"/>
  <cols>
    <col min="1" max="1" width="27.140625" bestFit="1" customWidth="1"/>
    <col min="2" max="2" width="16" bestFit="1" customWidth="1"/>
    <col min="3" max="3" width="7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12.8</v>
      </c>
    </row>
    <row r="3" spans="1:3" x14ac:dyDescent="0.25">
      <c r="A3" t="s">
        <v>5</v>
      </c>
      <c r="B3" t="s">
        <v>6</v>
      </c>
      <c r="C3">
        <v>25.72</v>
      </c>
    </row>
    <row r="4" spans="1:3" x14ac:dyDescent="0.25">
      <c r="A4" t="s">
        <v>7</v>
      </c>
      <c r="B4" t="s">
        <v>8</v>
      </c>
      <c r="C4">
        <v>37.659999999999997</v>
      </c>
    </row>
    <row r="5" spans="1:3" x14ac:dyDescent="0.25">
      <c r="A5" t="s">
        <v>9</v>
      </c>
      <c r="B5" t="s">
        <v>10</v>
      </c>
      <c r="C5">
        <v>26.05</v>
      </c>
    </row>
    <row r="6" spans="1:3" x14ac:dyDescent="0.25">
      <c r="A6" t="s">
        <v>11</v>
      </c>
      <c r="B6" t="s">
        <v>12</v>
      </c>
      <c r="C6">
        <v>23.25</v>
      </c>
    </row>
    <row r="7" spans="1:3" x14ac:dyDescent="0.25">
      <c r="A7" t="s">
        <v>13</v>
      </c>
      <c r="B7" t="s">
        <v>14</v>
      </c>
      <c r="C7">
        <v>5.99</v>
      </c>
    </row>
    <row r="8" spans="1:3" x14ac:dyDescent="0.25">
      <c r="A8" t="s">
        <v>15</v>
      </c>
      <c r="B8" t="s">
        <v>16</v>
      </c>
      <c r="C8">
        <v>19.239999999999998</v>
      </c>
    </row>
    <row r="9" spans="1:3" x14ac:dyDescent="0.25">
      <c r="A9" t="s">
        <v>17</v>
      </c>
      <c r="B9" t="s">
        <v>18</v>
      </c>
      <c r="C9">
        <v>38.9</v>
      </c>
    </row>
    <row r="10" spans="1:3" x14ac:dyDescent="0.25">
      <c r="A10" t="s">
        <v>19</v>
      </c>
      <c r="B10" t="s">
        <v>20</v>
      </c>
      <c r="C10">
        <v>33.79</v>
      </c>
    </row>
    <row r="11" spans="1:3" x14ac:dyDescent="0.25">
      <c r="A11" t="s">
        <v>21</v>
      </c>
      <c r="B11" t="s">
        <v>22</v>
      </c>
      <c r="C11">
        <v>-1.98</v>
      </c>
    </row>
    <row r="12" spans="1:3" x14ac:dyDescent="0.25">
      <c r="A12" t="s">
        <v>23</v>
      </c>
      <c r="B12" t="s">
        <v>24</v>
      </c>
      <c r="C12">
        <v>20.48</v>
      </c>
    </row>
    <row r="13" spans="1:3" x14ac:dyDescent="0.25">
      <c r="A13" t="s">
        <v>25</v>
      </c>
      <c r="B13" t="s">
        <v>26</v>
      </c>
      <c r="C13">
        <v>28.1</v>
      </c>
    </row>
    <row r="14" spans="1:3" x14ac:dyDescent="0.25">
      <c r="A14" t="s">
        <v>27</v>
      </c>
      <c r="B14" t="s">
        <v>28</v>
      </c>
      <c r="C14">
        <v>5.97</v>
      </c>
    </row>
    <row r="15" spans="1:3" x14ac:dyDescent="0.25">
      <c r="A15" t="s">
        <v>29</v>
      </c>
      <c r="B15" t="s">
        <v>30</v>
      </c>
      <c r="C15">
        <v>8.4</v>
      </c>
    </row>
    <row r="16" spans="1:3" x14ac:dyDescent="0.25">
      <c r="A16" t="s">
        <v>31</v>
      </c>
      <c r="B16" t="s">
        <v>32</v>
      </c>
      <c r="C16">
        <v>9.49</v>
      </c>
    </row>
    <row r="17" spans="1:3" x14ac:dyDescent="0.25">
      <c r="A17" t="s">
        <v>33</v>
      </c>
      <c r="B17" t="s">
        <v>34</v>
      </c>
      <c r="C17">
        <v>33.43</v>
      </c>
    </row>
    <row r="18" spans="1:3" x14ac:dyDescent="0.25">
      <c r="A18" t="s">
        <v>35</v>
      </c>
      <c r="B18" t="s">
        <v>36</v>
      </c>
      <c r="C18">
        <v>-3.19</v>
      </c>
    </row>
    <row r="19" spans="1:3" x14ac:dyDescent="0.25">
      <c r="A19" t="s">
        <v>37</v>
      </c>
      <c r="B19" t="s">
        <v>38</v>
      </c>
      <c r="C19">
        <v>1.53</v>
      </c>
    </row>
    <row r="20" spans="1:3" x14ac:dyDescent="0.25">
      <c r="A20" t="s">
        <v>39</v>
      </c>
      <c r="B20" t="s">
        <v>40</v>
      </c>
      <c r="C20">
        <v>32.1</v>
      </c>
    </row>
    <row r="21" spans="1:3" x14ac:dyDescent="0.25">
      <c r="A21" t="s">
        <v>41</v>
      </c>
      <c r="B21" t="s">
        <v>42</v>
      </c>
      <c r="C21">
        <v>22.44</v>
      </c>
    </row>
    <row r="22" spans="1:3" x14ac:dyDescent="0.25">
      <c r="A22" t="s">
        <v>43</v>
      </c>
      <c r="B22" t="s">
        <v>44</v>
      </c>
      <c r="C22">
        <v>32.42</v>
      </c>
    </row>
    <row r="23" spans="1:3" x14ac:dyDescent="0.25">
      <c r="A23" t="s">
        <v>45</v>
      </c>
      <c r="B23" t="s">
        <v>46</v>
      </c>
      <c r="C23">
        <v>24.44</v>
      </c>
    </row>
    <row r="24" spans="1:3" x14ac:dyDescent="0.25">
      <c r="A24" t="s">
        <v>47</v>
      </c>
      <c r="B24" t="s">
        <v>48</v>
      </c>
      <c r="C24">
        <v>0.56999999999999995</v>
      </c>
    </row>
    <row r="25" spans="1:3" x14ac:dyDescent="0.25">
      <c r="A25" t="s">
        <v>49</v>
      </c>
      <c r="B25" t="s">
        <v>50</v>
      </c>
      <c r="C25">
        <v>21.48</v>
      </c>
    </row>
    <row r="26" spans="1:3" x14ac:dyDescent="0.25">
      <c r="A26" t="s">
        <v>51</v>
      </c>
      <c r="B26" t="s">
        <v>52</v>
      </c>
      <c r="C26">
        <v>-10.37</v>
      </c>
    </row>
    <row r="27" spans="1:3" x14ac:dyDescent="0.25">
      <c r="A27" t="s">
        <v>53</v>
      </c>
      <c r="B27" t="s">
        <v>54</v>
      </c>
      <c r="C27">
        <v>-3.95</v>
      </c>
    </row>
    <row r="28" spans="1:3" x14ac:dyDescent="0.25">
      <c r="A28" t="s">
        <v>55</v>
      </c>
      <c r="B28" t="s">
        <v>56</v>
      </c>
      <c r="C28">
        <v>25.42</v>
      </c>
    </row>
    <row r="29" spans="1:3" x14ac:dyDescent="0.25">
      <c r="A29" t="s">
        <v>57</v>
      </c>
      <c r="B29" t="s">
        <v>58</v>
      </c>
      <c r="C29">
        <v>12.48</v>
      </c>
    </row>
    <row r="30" spans="1:3" x14ac:dyDescent="0.25">
      <c r="A30" t="s">
        <v>59</v>
      </c>
      <c r="B30" t="s">
        <v>60</v>
      </c>
      <c r="C30">
        <v>8.26</v>
      </c>
    </row>
    <row r="31" spans="1:3" x14ac:dyDescent="0.25">
      <c r="A31" t="s">
        <v>61</v>
      </c>
      <c r="B31" t="s">
        <v>62</v>
      </c>
      <c r="C31">
        <v>20.68</v>
      </c>
    </row>
    <row r="32" spans="1:3" x14ac:dyDescent="0.25">
      <c r="A32" t="s">
        <v>63</v>
      </c>
      <c r="B32" t="s">
        <v>64</v>
      </c>
      <c r="C32">
        <v>28.31</v>
      </c>
    </row>
    <row r="33" spans="1:3" x14ac:dyDescent="0.25">
      <c r="A33" t="s">
        <v>65</v>
      </c>
      <c r="B33" t="s">
        <v>66</v>
      </c>
      <c r="C33">
        <v>37.590000000000003</v>
      </c>
    </row>
    <row r="34" spans="1:3" x14ac:dyDescent="0.25">
      <c r="A34" t="s">
        <v>67</v>
      </c>
      <c r="B34" t="s">
        <v>68</v>
      </c>
      <c r="C34">
        <v>15.39</v>
      </c>
    </row>
    <row r="35" spans="1:3" x14ac:dyDescent="0.25">
      <c r="A35" t="s">
        <v>69</v>
      </c>
      <c r="B35" t="s">
        <v>70</v>
      </c>
      <c r="C35">
        <v>19.600000000000001</v>
      </c>
    </row>
    <row r="36" spans="1:3" x14ac:dyDescent="0.25">
      <c r="A36" t="s">
        <v>71</v>
      </c>
      <c r="B36" t="s">
        <v>72</v>
      </c>
      <c r="C36">
        <v>26.16</v>
      </c>
    </row>
    <row r="37" spans="1:3" x14ac:dyDescent="0.25">
      <c r="A37" t="s">
        <v>73</v>
      </c>
      <c r="B37" t="s">
        <v>74</v>
      </c>
      <c r="C37">
        <v>20.84</v>
      </c>
    </row>
    <row r="38" spans="1:3" x14ac:dyDescent="0.25">
      <c r="A38" t="s">
        <v>75</v>
      </c>
      <c r="B38" t="s">
        <v>76</v>
      </c>
      <c r="C38">
        <v>5.13</v>
      </c>
    </row>
    <row r="39" spans="1:3" x14ac:dyDescent="0.25">
      <c r="A39" t="s">
        <v>77</v>
      </c>
      <c r="B39" t="s">
        <v>78</v>
      </c>
      <c r="C39">
        <v>11.81</v>
      </c>
    </row>
    <row r="40" spans="1:3" x14ac:dyDescent="0.25">
      <c r="A40" t="s">
        <v>79</v>
      </c>
      <c r="B40" t="s">
        <v>80</v>
      </c>
      <c r="C40">
        <v>22.24</v>
      </c>
    </row>
    <row r="41" spans="1:3" x14ac:dyDescent="0.25">
      <c r="A41" t="s">
        <v>81</v>
      </c>
      <c r="B41" t="s">
        <v>82</v>
      </c>
      <c r="C41">
        <v>1.47</v>
      </c>
    </row>
    <row r="42" spans="1:3" x14ac:dyDescent="0.25">
      <c r="A42" t="s">
        <v>83</v>
      </c>
      <c r="B42" t="s">
        <v>84</v>
      </c>
      <c r="C42">
        <v>-10.69</v>
      </c>
    </row>
    <row r="43" spans="1:3" x14ac:dyDescent="0.25">
      <c r="A43" t="s">
        <v>85</v>
      </c>
      <c r="B43" t="s">
        <v>86</v>
      </c>
      <c r="C43">
        <v>31.2</v>
      </c>
    </row>
    <row r="44" spans="1:3" x14ac:dyDescent="0.25">
      <c r="A44" t="s">
        <v>87</v>
      </c>
      <c r="B44" t="s">
        <v>88</v>
      </c>
      <c r="C44">
        <v>-1.44</v>
      </c>
    </row>
    <row r="45" spans="1:3" x14ac:dyDescent="0.25">
      <c r="A45" t="s">
        <v>89</v>
      </c>
      <c r="B45" t="s">
        <v>90</v>
      </c>
      <c r="C45">
        <v>18.09</v>
      </c>
    </row>
    <row r="46" spans="1:3" x14ac:dyDescent="0.25">
      <c r="A46" t="s">
        <v>91</v>
      </c>
      <c r="B46" t="s">
        <v>92</v>
      </c>
      <c r="C46">
        <v>18.32</v>
      </c>
    </row>
    <row r="47" spans="1:3" x14ac:dyDescent="0.25">
      <c r="A47" t="s">
        <v>93</v>
      </c>
      <c r="B47" t="s">
        <v>94</v>
      </c>
      <c r="C47">
        <v>23.07</v>
      </c>
    </row>
    <row r="48" spans="1:3" x14ac:dyDescent="0.25">
      <c r="A48" t="s">
        <v>95</v>
      </c>
      <c r="B48" t="s">
        <v>96</v>
      </c>
      <c r="C48">
        <v>19.399999999999999</v>
      </c>
    </row>
    <row r="49" spans="1:3" x14ac:dyDescent="0.25">
      <c r="A49" t="s">
        <v>97</v>
      </c>
      <c r="B49" t="s">
        <v>98</v>
      </c>
      <c r="C49">
        <v>-2.1</v>
      </c>
    </row>
    <row r="50" spans="1:3" x14ac:dyDescent="0.25">
      <c r="A50" t="s">
        <v>99</v>
      </c>
      <c r="B50" t="s">
        <v>100</v>
      </c>
      <c r="C50">
        <v>16.39</v>
      </c>
    </row>
    <row r="51" spans="1:3" x14ac:dyDescent="0.25">
      <c r="A51" t="s">
        <v>101</v>
      </c>
      <c r="B51" t="s">
        <v>102</v>
      </c>
      <c r="C51">
        <v>25.91</v>
      </c>
    </row>
    <row r="52" spans="1:3" x14ac:dyDescent="0.25">
      <c r="A52" t="s">
        <v>103</v>
      </c>
      <c r="B52" t="s">
        <v>104</v>
      </c>
      <c r="C52">
        <v>17.59</v>
      </c>
    </row>
    <row r="53" spans="1:3" x14ac:dyDescent="0.25">
      <c r="A53" t="s">
        <v>105</v>
      </c>
      <c r="B53" t="s">
        <v>106</v>
      </c>
      <c r="C53">
        <v>-1.83</v>
      </c>
    </row>
    <row r="54" spans="1:3" x14ac:dyDescent="0.25">
      <c r="A54" t="s">
        <v>107</v>
      </c>
      <c r="B54" t="s">
        <v>108</v>
      </c>
      <c r="C54">
        <v>26.02</v>
      </c>
    </row>
    <row r="55" spans="1:3" x14ac:dyDescent="0.25">
      <c r="A55" t="s">
        <v>109</v>
      </c>
      <c r="B55" t="s">
        <v>110</v>
      </c>
      <c r="C55">
        <v>18.670000000000002</v>
      </c>
    </row>
    <row r="56" spans="1:3" x14ac:dyDescent="0.25">
      <c r="A56" t="s">
        <v>111</v>
      </c>
      <c r="B56" t="s">
        <v>112</v>
      </c>
      <c r="C56">
        <v>19.03</v>
      </c>
    </row>
    <row r="57" spans="1:3" x14ac:dyDescent="0.25">
      <c r="A57" t="s">
        <v>113</v>
      </c>
      <c r="B57" t="s">
        <v>114</v>
      </c>
      <c r="C57">
        <v>25.22</v>
      </c>
    </row>
    <row r="58" spans="1:3" x14ac:dyDescent="0.25">
      <c r="A58" t="s">
        <v>115</v>
      </c>
      <c r="B58" t="s">
        <v>116</v>
      </c>
      <c r="C58">
        <v>1.72</v>
      </c>
    </row>
    <row r="59" spans="1:3" x14ac:dyDescent="0.25">
      <c r="A59" t="s">
        <v>117</v>
      </c>
      <c r="B59" t="s">
        <v>118</v>
      </c>
      <c r="C59">
        <v>15.04</v>
      </c>
    </row>
    <row r="60" spans="1:3" x14ac:dyDescent="0.25">
      <c r="A60" t="s">
        <v>119</v>
      </c>
      <c r="B60" t="s">
        <v>120</v>
      </c>
      <c r="C60">
        <v>21.67</v>
      </c>
    </row>
    <row r="61" spans="1:3" x14ac:dyDescent="0.25">
      <c r="A61" t="s">
        <v>121</v>
      </c>
      <c r="B61" t="s">
        <v>122</v>
      </c>
      <c r="C61">
        <v>27.87</v>
      </c>
    </row>
    <row r="62" spans="1:3" x14ac:dyDescent="0.25">
      <c r="A62" t="s">
        <v>123</v>
      </c>
      <c r="B62" t="s">
        <v>124</v>
      </c>
      <c r="C62">
        <v>-1.67</v>
      </c>
    </row>
    <row r="63" spans="1:3" x14ac:dyDescent="0.25">
      <c r="A63" t="s">
        <v>125</v>
      </c>
      <c r="B63" t="s">
        <v>126</v>
      </c>
      <c r="C63">
        <v>20.76</v>
      </c>
    </row>
    <row r="64" spans="1:3" x14ac:dyDescent="0.25">
      <c r="A64" t="s">
        <v>127</v>
      </c>
      <c r="B64" t="s">
        <v>128</v>
      </c>
      <c r="C64">
        <v>17.21</v>
      </c>
    </row>
    <row r="65" spans="1:3" x14ac:dyDescent="0.25">
      <c r="A65" t="s">
        <v>129</v>
      </c>
      <c r="B65" t="s">
        <v>130</v>
      </c>
      <c r="C65">
        <v>27.51</v>
      </c>
    </row>
    <row r="66" spans="1:3" x14ac:dyDescent="0.25">
      <c r="A66" t="s">
        <v>131</v>
      </c>
      <c r="B66" t="s">
        <v>132</v>
      </c>
      <c r="C66">
        <v>19.97</v>
      </c>
    </row>
    <row r="67" spans="1:3" x14ac:dyDescent="0.25">
      <c r="A67" t="s">
        <v>133</v>
      </c>
      <c r="B67" t="s">
        <v>134</v>
      </c>
      <c r="C67">
        <v>26.71</v>
      </c>
    </row>
    <row r="68" spans="1:3" x14ac:dyDescent="0.25">
      <c r="A68" t="s">
        <v>135</v>
      </c>
      <c r="B68" t="s">
        <v>136</v>
      </c>
      <c r="C68">
        <v>23.39</v>
      </c>
    </row>
    <row r="69" spans="1:3" x14ac:dyDescent="0.25">
      <c r="A69" t="s">
        <v>137</v>
      </c>
      <c r="B69" t="s">
        <v>138</v>
      </c>
      <c r="C69">
        <v>2.04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A4B8E-F356-441E-AFF8-2F1D3AB22BF3}">
  <dimension ref="A1:I69"/>
  <sheetViews>
    <sheetView tabSelected="1" topLeftCell="A27" workbookViewId="0">
      <selection activeCell="I1" sqref="I1:I69"/>
    </sheetView>
  </sheetViews>
  <sheetFormatPr defaultRowHeight="15" x14ac:dyDescent="0.25"/>
  <cols>
    <col min="2" max="2" width="27.140625" bestFit="1" customWidth="1"/>
  </cols>
  <sheetData>
    <row r="1" spans="1:9" x14ac:dyDescent="0.25">
      <c r="A1" t="s">
        <v>1</v>
      </c>
      <c r="B1" t="s">
        <v>0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</row>
    <row r="2" spans="1:9" x14ac:dyDescent="0.25">
      <c r="A2" t="s">
        <v>18</v>
      </c>
      <c r="B2" t="str">
        <f>INDEX(Sheet1!$A:$A,MATCH(A2,Sheet1!$B:$B,0))</f>
        <v>Duke Blue Devils</v>
      </c>
      <c r="C2">
        <v>99.1</v>
      </c>
      <c r="D2">
        <v>85.3</v>
      </c>
      <c r="E2">
        <v>69</v>
      </c>
      <c r="F2">
        <v>52.7</v>
      </c>
      <c r="G2">
        <v>33.299999999999997</v>
      </c>
      <c r="H2">
        <v>21</v>
      </c>
      <c r="I2">
        <f>C2/100+D2/100+E2/100+F2/100+G2/100+1</f>
        <v>4.3940000000000001</v>
      </c>
    </row>
    <row r="3" spans="1:9" x14ac:dyDescent="0.25">
      <c r="A3" t="s">
        <v>8</v>
      </c>
      <c r="B3" t="str">
        <f>INDEX(Sheet1!$A:$A,MATCH(A3,Sheet1!$B:$B,0))</f>
        <v>Arizona Wildcats</v>
      </c>
      <c r="C3">
        <v>99.6</v>
      </c>
      <c r="D3">
        <v>85.7</v>
      </c>
      <c r="E3">
        <v>68.8</v>
      </c>
      <c r="F3">
        <v>49.7</v>
      </c>
      <c r="G3">
        <v>32.1</v>
      </c>
      <c r="H3">
        <v>18.5</v>
      </c>
      <c r="I3">
        <f t="shared" ref="I3:I66" si="0">C3/100+D3/100+E3/100+F3/100+G3/100+1</f>
        <v>4.359</v>
      </c>
    </row>
    <row r="4" spans="1:9" x14ac:dyDescent="0.25">
      <c r="A4" t="s">
        <v>66</v>
      </c>
      <c r="B4" t="str">
        <f>INDEX(Sheet1!$A:$A,MATCH(A4,Sheet1!$B:$B,0))</f>
        <v>Michigan Wolverines</v>
      </c>
      <c r="C4">
        <v>99.5</v>
      </c>
      <c r="D4">
        <v>88.2</v>
      </c>
      <c r="E4">
        <v>70.900000000000006</v>
      </c>
      <c r="F4">
        <v>50.2</v>
      </c>
      <c r="G4">
        <v>30.4</v>
      </c>
      <c r="H4">
        <v>18.399999999999999</v>
      </c>
      <c r="I4">
        <f t="shared" si="0"/>
        <v>4.3919999999999995</v>
      </c>
    </row>
    <row r="5" spans="1:9" x14ac:dyDescent="0.25">
      <c r="A5" t="s">
        <v>20</v>
      </c>
      <c r="B5" t="str">
        <f>INDEX(Sheet1!$A:$A,MATCH(A5,Sheet1!$B:$B,0))</f>
        <v>Florida Gators</v>
      </c>
      <c r="C5">
        <v>99.8</v>
      </c>
      <c r="D5">
        <v>77.900000000000006</v>
      </c>
      <c r="E5">
        <v>53.2</v>
      </c>
      <c r="F5">
        <v>30.1</v>
      </c>
      <c r="G5">
        <v>15.8</v>
      </c>
      <c r="H5">
        <v>7.5</v>
      </c>
      <c r="I5">
        <f t="shared" si="0"/>
        <v>3.7680000000000002</v>
      </c>
    </row>
    <row r="6" spans="1:9" x14ac:dyDescent="0.25">
      <c r="A6" t="s">
        <v>34</v>
      </c>
      <c r="B6" t="str">
        <f>INDEX(Sheet1!$A:$A,MATCH(A6,Sheet1!$B:$B,0))</f>
        <v>Houston Cougars</v>
      </c>
      <c r="C6">
        <v>96.9</v>
      </c>
      <c r="D6">
        <v>73.5</v>
      </c>
      <c r="E6">
        <v>43.6</v>
      </c>
      <c r="F6">
        <v>25.1</v>
      </c>
      <c r="G6">
        <v>12.9</v>
      </c>
      <c r="H6">
        <v>6.1</v>
      </c>
      <c r="I6">
        <f t="shared" si="0"/>
        <v>3.52</v>
      </c>
    </row>
    <row r="7" spans="1:9" x14ac:dyDescent="0.25">
      <c r="A7" t="s">
        <v>44</v>
      </c>
      <c r="B7" t="str">
        <f>INDEX(Sheet1!$A:$A,MATCH(A7,Sheet1!$B:$B,0))</f>
        <v>Iowa State Cyclones</v>
      </c>
      <c r="C7">
        <v>98.4</v>
      </c>
      <c r="D7">
        <v>75.3</v>
      </c>
      <c r="E7">
        <v>49.4</v>
      </c>
      <c r="F7">
        <v>22.9</v>
      </c>
      <c r="G7">
        <v>11.2</v>
      </c>
      <c r="H7">
        <v>5.4</v>
      </c>
      <c r="I7">
        <f t="shared" si="0"/>
        <v>3.5720000000000001</v>
      </c>
    </row>
    <row r="8" spans="1:9" x14ac:dyDescent="0.25">
      <c r="A8" t="s">
        <v>40</v>
      </c>
      <c r="B8" t="str">
        <f>INDEX(Sheet1!$A:$A,MATCH(A8,Sheet1!$B:$B,0))</f>
        <v>Illinois Fighting Illini</v>
      </c>
      <c r="C8">
        <v>97</v>
      </c>
      <c r="D8">
        <v>75.5</v>
      </c>
      <c r="E8">
        <v>40.799999999999997</v>
      </c>
      <c r="F8">
        <v>22.3</v>
      </c>
      <c r="G8">
        <v>10.7</v>
      </c>
      <c r="H8">
        <v>4.5999999999999996</v>
      </c>
      <c r="I8">
        <f t="shared" si="0"/>
        <v>3.4630000000000001</v>
      </c>
    </row>
    <row r="9" spans="1:9" x14ac:dyDescent="0.25">
      <c r="A9" t="s">
        <v>86</v>
      </c>
      <c r="B9" t="str">
        <f>INDEX(Sheet1!$A:$A,MATCH(A9,Sheet1!$B:$B,0))</f>
        <v>Purdue Boilermakers</v>
      </c>
      <c r="C9">
        <v>97.6</v>
      </c>
      <c r="D9">
        <v>74.900000000000006</v>
      </c>
      <c r="E9">
        <v>46.7</v>
      </c>
      <c r="F9">
        <v>20.8</v>
      </c>
      <c r="G9">
        <v>10.3</v>
      </c>
      <c r="H9">
        <v>4.3</v>
      </c>
      <c r="I9">
        <f t="shared" si="0"/>
        <v>3.5030000000000006</v>
      </c>
    </row>
    <row r="10" spans="1:9" x14ac:dyDescent="0.25">
      <c r="A10" t="s">
        <v>122</v>
      </c>
      <c r="B10" t="str">
        <f>INDEX(Sheet1!$A:$A,MATCH(A10,Sheet1!$B:$B,0))</f>
        <v>UConn Huskies</v>
      </c>
      <c r="C10">
        <v>95.9</v>
      </c>
      <c r="D10">
        <v>66.099999999999994</v>
      </c>
      <c r="E10">
        <v>35.5</v>
      </c>
      <c r="F10">
        <v>13.1</v>
      </c>
      <c r="G10">
        <v>4.9000000000000004</v>
      </c>
      <c r="H10">
        <v>1.9</v>
      </c>
      <c r="I10">
        <f t="shared" si="0"/>
        <v>3.1549999999999998</v>
      </c>
    </row>
    <row r="11" spans="1:9" x14ac:dyDescent="0.25">
      <c r="A11" t="s">
        <v>64</v>
      </c>
      <c r="B11" t="str">
        <f>INDEX(Sheet1!$A:$A,MATCH(A11,Sheet1!$B:$B,0))</f>
        <v>Michigan State Spartans</v>
      </c>
      <c r="C11">
        <v>91.6</v>
      </c>
      <c r="D11">
        <v>57.5</v>
      </c>
      <c r="E11">
        <v>32.9</v>
      </c>
      <c r="F11">
        <v>12</v>
      </c>
      <c r="G11">
        <v>4.5999999999999996</v>
      </c>
      <c r="H11">
        <v>1.8</v>
      </c>
      <c r="I11">
        <f t="shared" si="0"/>
        <v>2.9859999999999998</v>
      </c>
    </row>
    <row r="12" spans="1:9" x14ac:dyDescent="0.25">
      <c r="A12" t="s">
        <v>26</v>
      </c>
      <c r="B12" t="str">
        <f>INDEX(Sheet1!$A:$A,MATCH(A12,Sheet1!$B:$B,0))</f>
        <v>Gonzaga Bulldogs</v>
      </c>
      <c r="C12">
        <v>96.3</v>
      </c>
      <c r="D12">
        <v>63.4</v>
      </c>
      <c r="E12">
        <v>31.6</v>
      </c>
      <c r="F12">
        <v>11.7</v>
      </c>
      <c r="G12">
        <v>4.9000000000000004</v>
      </c>
      <c r="H12">
        <v>1.7</v>
      </c>
      <c r="I12">
        <f t="shared" si="0"/>
        <v>3.0790000000000002</v>
      </c>
    </row>
    <row r="13" spans="1:9" x14ac:dyDescent="0.25">
      <c r="A13" t="s">
        <v>130</v>
      </c>
      <c r="B13" t="str">
        <f>INDEX(Sheet1!$A:$A,MATCH(A13,Sheet1!$B:$B,0))</f>
        <v>Vanderbilt Commodores</v>
      </c>
      <c r="C13">
        <v>82.3</v>
      </c>
      <c r="D13">
        <v>46.3</v>
      </c>
      <c r="E13">
        <v>19</v>
      </c>
      <c r="F13">
        <v>8</v>
      </c>
      <c r="G13">
        <v>3</v>
      </c>
      <c r="H13">
        <v>1</v>
      </c>
      <c r="I13">
        <f t="shared" si="0"/>
        <v>2.5860000000000003</v>
      </c>
    </row>
    <row r="14" spans="1:9" x14ac:dyDescent="0.25">
      <c r="A14" t="s">
        <v>134</v>
      </c>
      <c r="B14" t="str">
        <f>INDEX(Sheet1!$A:$A,MATCH(A14,Sheet1!$B:$B,0))</f>
        <v>Virginia Cavaliers</v>
      </c>
      <c r="C14">
        <v>93.1</v>
      </c>
      <c r="D14">
        <v>53.1</v>
      </c>
      <c r="E14">
        <v>23.2</v>
      </c>
      <c r="F14">
        <v>7.8</v>
      </c>
      <c r="G14">
        <v>2.7</v>
      </c>
      <c r="H14">
        <v>1</v>
      </c>
      <c r="I14">
        <f t="shared" si="0"/>
        <v>2.7989999999999999</v>
      </c>
    </row>
    <row r="15" spans="1:9" x14ac:dyDescent="0.25">
      <c r="A15" t="s">
        <v>10</v>
      </c>
      <c r="B15" t="str">
        <f>INDEX(Sheet1!$A:$A,MATCH(A15,Sheet1!$B:$B,0))</f>
        <v>Arkansas Razorbacks</v>
      </c>
      <c r="C15">
        <v>90.7</v>
      </c>
      <c r="D15">
        <v>56.2</v>
      </c>
      <c r="E15">
        <v>15.9</v>
      </c>
      <c r="F15">
        <v>7.2</v>
      </c>
      <c r="G15">
        <v>2.7</v>
      </c>
      <c r="H15">
        <v>0.8</v>
      </c>
      <c r="I15">
        <f t="shared" si="0"/>
        <v>2.7270000000000003</v>
      </c>
    </row>
    <row r="16" spans="1:9" x14ac:dyDescent="0.25">
      <c r="A16" t="s">
        <v>72</v>
      </c>
      <c r="B16" t="str">
        <f>INDEX(Sheet1!$A:$A,MATCH(A16,Sheet1!$B:$B,0))</f>
        <v>Nebraska Cornhuskers</v>
      </c>
      <c r="C16">
        <v>92.7</v>
      </c>
      <c r="D16">
        <v>48.7</v>
      </c>
      <c r="E16">
        <v>18.600000000000001</v>
      </c>
      <c r="F16">
        <v>7.2</v>
      </c>
      <c r="G16">
        <v>2.5</v>
      </c>
      <c r="H16">
        <v>0.8</v>
      </c>
      <c r="I16">
        <f t="shared" si="0"/>
        <v>2.6970000000000001</v>
      </c>
    </row>
    <row r="17" spans="1:9" x14ac:dyDescent="0.25">
      <c r="A17" t="s">
        <v>102</v>
      </c>
      <c r="B17" t="str">
        <f>INDEX(Sheet1!$A:$A,MATCH(A17,Sheet1!$B:$B,0))</f>
        <v>St. John's Red Storm</v>
      </c>
      <c r="C17">
        <v>79.599999999999994</v>
      </c>
      <c r="D17">
        <v>46.5</v>
      </c>
      <c r="E17">
        <v>12.7</v>
      </c>
      <c r="F17">
        <v>6.1</v>
      </c>
      <c r="G17">
        <v>2.1</v>
      </c>
      <c r="H17">
        <v>0.7</v>
      </c>
      <c r="I17">
        <f t="shared" si="0"/>
        <v>2.4699999999999998</v>
      </c>
    </row>
    <row r="18" spans="1:9" x14ac:dyDescent="0.25">
      <c r="A18" t="s">
        <v>108</v>
      </c>
      <c r="B18" t="str">
        <f>INDEX(Sheet1!$A:$A,MATCH(A18,Sheet1!$B:$B,0))</f>
        <v>Tennessee Volunteers</v>
      </c>
      <c r="C18">
        <v>73.099999999999994</v>
      </c>
      <c r="D18">
        <v>37.6</v>
      </c>
      <c r="E18">
        <v>15.8</v>
      </c>
      <c r="F18">
        <v>5.0999999999999996</v>
      </c>
      <c r="G18">
        <v>1.8</v>
      </c>
      <c r="H18">
        <v>0.6</v>
      </c>
      <c r="I18">
        <f t="shared" si="0"/>
        <v>2.3339999999999996</v>
      </c>
    </row>
    <row r="19" spans="1:9" x14ac:dyDescent="0.25">
      <c r="A19" t="s">
        <v>6</v>
      </c>
      <c r="B19" t="str">
        <f>INDEX(Sheet1!$A:$A,MATCH(A19,Sheet1!$B:$B,0))</f>
        <v>Alabama Crimson Tide</v>
      </c>
      <c r="C19">
        <v>84.9</v>
      </c>
      <c r="D19">
        <v>49.1</v>
      </c>
      <c r="E19">
        <v>12.7</v>
      </c>
      <c r="F19">
        <v>5.5</v>
      </c>
      <c r="G19">
        <v>1.8</v>
      </c>
      <c r="H19">
        <v>0.6</v>
      </c>
      <c r="I19">
        <f t="shared" si="0"/>
        <v>2.54</v>
      </c>
    </row>
    <row r="20" spans="1:9" x14ac:dyDescent="0.25">
      <c r="A20" t="s">
        <v>56</v>
      </c>
      <c r="B20" t="str">
        <f>INDEX(Sheet1!$A:$A,MATCH(A20,Sheet1!$B:$B,0))</f>
        <v>Louisville Cardinals</v>
      </c>
      <c r="C20">
        <v>72.3</v>
      </c>
      <c r="D20">
        <v>33.9</v>
      </c>
      <c r="E20">
        <v>17.2</v>
      </c>
      <c r="F20">
        <v>5.3</v>
      </c>
      <c r="G20">
        <v>1.7</v>
      </c>
      <c r="H20">
        <v>0.5</v>
      </c>
      <c r="I20">
        <f t="shared" si="0"/>
        <v>2.3039999999999994</v>
      </c>
    </row>
    <row r="21" spans="1:9" x14ac:dyDescent="0.25">
      <c r="A21" t="s">
        <v>114</v>
      </c>
      <c r="B21" t="str">
        <f>INDEX(Sheet1!$A:$A,MATCH(A21,Sheet1!$B:$B,0))</f>
        <v>Texas Tech Red Raiders</v>
      </c>
      <c r="C21">
        <v>78.2</v>
      </c>
      <c r="D21">
        <v>42</v>
      </c>
      <c r="E21">
        <v>11.2</v>
      </c>
      <c r="F21">
        <v>4.7</v>
      </c>
      <c r="G21">
        <v>1.6</v>
      </c>
      <c r="H21">
        <v>0.5</v>
      </c>
      <c r="I21">
        <f t="shared" si="0"/>
        <v>2.3769999999999998</v>
      </c>
    </row>
    <row r="22" spans="1:9" x14ac:dyDescent="0.25">
      <c r="A22" t="s">
        <v>46</v>
      </c>
      <c r="B22" t="str">
        <f>INDEX(Sheet1!$A:$A,MATCH(A22,Sheet1!$B:$B,0))</f>
        <v>Kansas Jayhawks</v>
      </c>
      <c r="C22">
        <v>86.6</v>
      </c>
      <c r="D22">
        <v>45.5</v>
      </c>
      <c r="E22">
        <v>11.4</v>
      </c>
      <c r="F22">
        <v>5.2</v>
      </c>
      <c r="G22">
        <v>1.6</v>
      </c>
      <c r="H22">
        <v>0.5</v>
      </c>
      <c r="I22">
        <f t="shared" si="0"/>
        <v>2.5030000000000001</v>
      </c>
    </row>
    <row r="23" spans="1:9" x14ac:dyDescent="0.25">
      <c r="A23" t="s">
        <v>136</v>
      </c>
      <c r="B23" t="str">
        <f>INDEX(Sheet1!$A:$A,MATCH(A23,Sheet1!$B:$B,0))</f>
        <v>Wisconsin Badgers</v>
      </c>
      <c r="C23">
        <v>83.3</v>
      </c>
      <c r="D23">
        <v>39.299999999999997</v>
      </c>
      <c r="E23">
        <v>9.1999999999999993</v>
      </c>
      <c r="F23">
        <v>3.6</v>
      </c>
      <c r="G23">
        <v>1.2</v>
      </c>
      <c r="H23">
        <v>0.3</v>
      </c>
      <c r="I23">
        <f t="shared" si="0"/>
        <v>2.3660000000000001</v>
      </c>
    </row>
    <row r="24" spans="1:9" x14ac:dyDescent="0.25">
      <c r="A24" t="s">
        <v>12</v>
      </c>
      <c r="B24" t="str">
        <f>INDEX(Sheet1!$A:$A,MATCH(A24,Sheet1!$B:$B,0))</f>
        <v>BYU Cougars</v>
      </c>
      <c r="C24">
        <v>60</v>
      </c>
      <c r="D24">
        <v>23.8</v>
      </c>
      <c r="E24">
        <v>9.3000000000000007</v>
      </c>
      <c r="F24">
        <v>2.5</v>
      </c>
      <c r="G24">
        <v>0.8</v>
      </c>
      <c r="H24">
        <v>0.2</v>
      </c>
      <c r="I24">
        <f t="shared" si="0"/>
        <v>1.964</v>
      </c>
    </row>
    <row r="25" spans="1:9" x14ac:dyDescent="0.25">
      <c r="A25" t="s">
        <v>94</v>
      </c>
      <c r="B25" t="str">
        <f>INDEX(Sheet1!$A:$A,MATCH(A25,Sheet1!$B:$B,0))</f>
        <v>Saint Mary's Gaels</v>
      </c>
      <c r="C25">
        <v>60.4</v>
      </c>
      <c r="D25">
        <v>17.899999999999999</v>
      </c>
      <c r="E25">
        <v>6.6</v>
      </c>
      <c r="F25">
        <v>2.2000000000000002</v>
      </c>
      <c r="G25">
        <v>0.7</v>
      </c>
      <c r="H25">
        <v>0.2</v>
      </c>
      <c r="I25">
        <f t="shared" si="0"/>
        <v>1.8780000000000001</v>
      </c>
    </row>
    <row r="26" spans="1:9" x14ac:dyDescent="0.25">
      <c r="A26" t="s">
        <v>120</v>
      </c>
      <c r="B26" t="str">
        <f>INDEX(Sheet1!$A:$A,MATCH(A26,Sheet1!$B:$B,0))</f>
        <v>UCLA Bruins</v>
      </c>
      <c r="C26">
        <v>65.8</v>
      </c>
      <c r="D26">
        <v>25.1</v>
      </c>
      <c r="E26">
        <v>10</v>
      </c>
      <c r="F26">
        <v>2.5</v>
      </c>
      <c r="G26">
        <v>0.7</v>
      </c>
      <c r="H26">
        <v>0.2</v>
      </c>
      <c r="I26">
        <f t="shared" si="0"/>
        <v>2.0409999999999995</v>
      </c>
    </row>
    <row r="27" spans="1:9" x14ac:dyDescent="0.25">
      <c r="A27" t="s">
        <v>80</v>
      </c>
      <c r="B27" t="str">
        <f>INDEX(Sheet1!$A:$A,MATCH(A27,Sheet1!$B:$B,0))</f>
        <v>Ohio State Buckeyes</v>
      </c>
      <c r="C27">
        <v>61</v>
      </c>
      <c r="D27">
        <v>10.3</v>
      </c>
      <c r="E27">
        <v>4.7</v>
      </c>
      <c r="F27">
        <v>1.9</v>
      </c>
      <c r="G27">
        <v>0.5</v>
      </c>
      <c r="H27">
        <v>0.1</v>
      </c>
      <c r="I27">
        <f t="shared" si="0"/>
        <v>1.784</v>
      </c>
    </row>
    <row r="28" spans="1:9" x14ac:dyDescent="0.25">
      <c r="A28" t="s">
        <v>42</v>
      </c>
      <c r="B28" t="str">
        <f>INDEX(Sheet1!$A:$A,MATCH(A28,Sheet1!$B:$B,0))</f>
        <v>Iowa Hawkeyes</v>
      </c>
      <c r="C28">
        <v>57</v>
      </c>
      <c r="D28">
        <v>14</v>
      </c>
      <c r="E28">
        <v>5.8</v>
      </c>
      <c r="F28">
        <v>1.8</v>
      </c>
      <c r="G28">
        <v>0.5</v>
      </c>
      <c r="H28">
        <v>0.1</v>
      </c>
      <c r="I28">
        <f t="shared" si="0"/>
        <v>1.7909999999999999</v>
      </c>
    </row>
    <row r="29" spans="1:9" x14ac:dyDescent="0.25">
      <c r="A29" t="s">
        <v>62</v>
      </c>
      <c r="B29" t="str">
        <f>INDEX(Sheet1!$A:$A,MATCH(A29,Sheet1!$B:$B,0))</f>
        <v>Miami Hurricanes</v>
      </c>
      <c r="C29">
        <v>62.7</v>
      </c>
      <c r="D29">
        <v>17.5</v>
      </c>
      <c r="E29">
        <v>6.6</v>
      </c>
      <c r="F29">
        <v>1.6</v>
      </c>
      <c r="G29">
        <v>0.4</v>
      </c>
      <c r="H29">
        <v>0.08</v>
      </c>
      <c r="I29">
        <f t="shared" si="0"/>
        <v>1.8880000000000001</v>
      </c>
    </row>
    <row r="30" spans="1:9" x14ac:dyDescent="0.25">
      <c r="A30" t="s">
        <v>50</v>
      </c>
      <c r="B30" t="str">
        <f>INDEX(Sheet1!$A:$A,MATCH(A30,Sheet1!$B:$B,0))</f>
        <v>Kentucky Wildcats</v>
      </c>
      <c r="C30">
        <v>55.5</v>
      </c>
      <c r="D30">
        <v>14.6</v>
      </c>
      <c r="E30">
        <v>6</v>
      </c>
      <c r="F30">
        <v>1.3</v>
      </c>
      <c r="G30">
        <v>0.3</v>
      </c>
      <c r="H30">
        <v>0.08</v>
      </c>
      <c r="I30">
        <f t="shared" si="0"/>
        <v>1.7770000000000001</v>
      </c>
    </row>
    <row r="31" spans="1:9" x14ac:dyDescent="0.25">
      <c r="A31" t="s">
        <v>74</v>
      </c>
      <c r="B31" t="str">
        <f>INDEX(Sheet1!$A:$A,MATCH(A31,Sheet1!$B:$B,0))</f>
        <v>North Carolina Tar Heels</v>
      </c>
      <c r="C31">
        <v>58.9</v>
      </c>
      <c r="D31">
        <v>15.7</v>
      </c>
      <c r="E31">
        <v>4.7</v>
      </c>
      <c r="F31">
        <v>1.4</v>
      </c>
      <c r="G31">
        <v>0.4</v>
      </c>
      <c r="H31">
        <v>7.0000000000000007E-2</v>
      </c>
      <c r="I31">
        <f t="shared" si="0"/>
        <v>1.8109999999999999</v>
      </c>
    </row>
    <row r="32" spans="1:9" x14ac:dyDescent="0.25">
      <c r="A32" t="s">
        <v>126</v>
      </c>
      <c r="B32" t="str">
        <f>INDEX(Sheet1!$A:$A,MATCH(A32,Sheet1!$B:$B,0))</f>
        <v>Utah State Aggies</v>
      </c>
      <c r="C32">
        <v>52.3</v>
      </c>
      <c r="D32">
        <v>7.5</v>
      </c>
      <c r="E32">
        <v>3.1</v>
      </c>
      <c r="F32">
        <v>1</v>
      </c>
      <c r="G32">
        <v>0.3</v>
      </c>
      <c r="H32">
        <v>0.06</v>
      </c>
      <c r="I32">
        <f t="shared" si="0"/>
        <v>1.6419999999999999</v>
      </c>
    </row>
    <row r="33" spans="1:9" x14ac:dyDescent="0.25">
      <c r="A33" t="s">
        <v>132</v>
      </c>
      <c r="B33" t="str">
        <f>INDEX(Sheet1!$A:$A,MATCH(A33,Sheet1!$B:$B,0))</f>
        <v>Villanova Wildcats</v>
      </c>
      <c r="C33">
        <v>47.7</v>
      </c>
      <c r="D33">
        <v>6.8</v>
      </c>
      <c r="E33">
        <v>2.7</v>
      </c>
      <c r="F33">
        <v>0.8</v>
      </c>
      <c r="G33">
        <v>0.2</v>
      </c>
      <c r="H33">
        <v>0.05</v>
      </c>
      <c r="I33">
        <f t="shared" si="0"/>
        <v>1.5820000000000001</v>
      </c>
    </row>
    <row r="34" spans="1:9" x14ac:dyDescent="0.25">
      <c r="A34" t="s">
        <v>24</v>
      </c>
      <c r="B34" t="str">
        <f>INDEX(Sheet1!$A:$A,MATCH(A34,Sheet1!$B:$B,0))</f>
        <v>Georgia Bulldogs</v>
      </c>
      <c r="C34">
        <v>56</v>
      </c>
      <c r="D34">
        <v>7.2</v>
      </c>
      <c r="E34">
        <v>2.9</v>
      </c>
      <c r="F34">
        <v>0.9</v>
      </c>
      <c r="G34">
        <v>0.2</v>
      </c>
      <c r="H34">
        <v>0.03</v>
      </c>
      <c r="I34">
        <f t="shared" si="0"/>
        <v>1.6720000000000002</v>
      </c>
    </row>
    <row r="35" spans="1:9" x14ac:dyDescent="0.25">
      <c r="A35" t="s">
        <v>16</v>
      </c>
      <c r="B35" t="str">
        <f>INDEX(Sheet1!$A:$A,MATCH(A35,Sheet1!$B:$B,0))</f>
        <v>Clemson Tigers</v>
      </c>
      <c r="C35">
        <v>43</v>
      </c>
      <c r="D35">
        <v>8.1</v>
      </c>
      <c r="E35">
        <v>2.8</v>
      </c>
      <c r="F35">
        <v>0.7</v>
      </c>
      <c r="G35">
        <v>0.2</v>
      </c>
      <c r="H35">
        <v>0.03</v>
      </c>
      <c r="I35">
        <f t="shared" si="0"/>
        <v>1.548</v>
      </c>
    </row>
    <row r="36" spans="1:9" x14ac:dyDescent="0.25">
      <c r="A36" t="s">
        <v>96</v>
      </c>
      <c r="B36" t="str">
        <f>INDEX(Sheet1!$A:$A,MATCH(A36,Sheet1!$B:$B,0))</f>
        <v>Santa Clara Broncos</v>
      </c>
      <c r="C36">
        <v>44.5</v>
      </c>
      <c r="D36">
        <v>10</v>
      </c>
      <c r="E36">
        <v>3.5</v>
      </c>
      <c r="F36">
        <v>0.7</v>
      </c>
      <c r="G36">
        <v>0.2</v>
      </c>
      <c r="H36">
        <v>0.03</v>
      </c>
      <c r="I36">
        <f t="shared" si="0"/>
        <v>1.589</v>
      </c>
    </row>
    <row r="37" spans="1:9" x14ac:dyDescent="0.25">
      <c r="A37" t="s">
        <v>70</v>
      </c>
      <c r="B37" t="str">
        <f>INDEX(Sheet1!$A:$A,MATCH(A37,Sheet1!$B:$B,0))</f>
        <v>NC State Wolfpack</v>
      </c>
      <c r="C37">
        <v>20.8</v>
      </c>
      <c r="D37">
        <v>6.6</v>
      </c>
      <c r="E37">
        <v>2</v>
      </c>
      <c r="F37">
        <v>0.4</v>
      </c>
      <c r="G37">
        <v>0.1</v>
      </c>
      <c r="H37">
        <v>0.02</v>
      </c>
      <c r="I37">
        <f t="shared" si="0"/>
        <v>1.2989999999999999</v>
      </c>
    </row>
    <row r="38" spans="1:9" x14ac:dyDescent="0.25">
      <c r="A38" t="s">
        <v>110</v>
      </c>
      <c r="B38" t="str">
        <f>INDEX(Sheet1!$A:$A,MATCH(A38,Sheet1!$B:$B,0))</f>
        <v>Texas A&amp;M Aggies</v>
      </c>
      <c r="C38">
        <v>39.6</v>
      </c>
      <c r="D38">
        <v>8.1999999999999993</v>
      </c>
      <c r="E38">
        <v>2.2999999999999998</v>
      </c>
      <c r="F38">
        <v>0.6</v>
      </c>
      <c r="G38">
        <v>0.1</v>
      </c>
      <c r="H38">
        <v>0.02</v>
      </c>
      <c r="I38">
        <f t="shared" si="0"/>
        <v>1.508</v>
      </c>
    </row>
    <row r="39" spans="1:9" x14ac:dyDescent="0.25">
      <c r="A39" t="s">
        <v>92</v>
      </c>
      <c r="B39" t="str">
        <f>INDEX(Sheet1!$A:$A,MATCH(A39,Sheet1!$B:$B,0))</f>
        <v>Saint Louis Billikens</v>
      </c>
      <c r="C39">
        <v>44</v>
      </c>
      <c r="D39">
        <v>4.5</v>
      </c>
      <c r="E39">
        <v>1.6</v>
      </c>
      <c r="F39">
        <v>0.4</v>
      </c>
      <c r="G39">
        <v>0.09</v>
      </c>
      <c r="H39">
        <v>0.02</v>
      </c>
      <c r="I39">
        <f t="shared" si="0"/>
        <v>1.5059</v>
      </c>
    </row>
    <row r="40" spans="1:9" x14ac:dyDescent="0.25">
      <c r="A40" t="s">
        <v>112</v>
      </c>
      <c r="B40" t="str">
        <f>INDEX(Sheet1!$A:$A,MATCH(A40,Sheet1!$B:$B,0))</f>
        <v>Texas Longhorns</v>
      </c>
      <c r="C40">
        <v>19.2</v>
      </c>
      <c r="D40">
        <v>5.9</v>
      </c>
      <c r="E40">
        <v>1.8</v>
      </c>
      <c r="F40">
        <v>0.4</v>
      </c>
      <c r="G40">
        <v>0.09</v>
      </c>
      <c r="H40">
        <v>0.02</v>
      </c>
      <c r="I40">
        <f t="shared" si="0"/>
        <v>1.2739</v>
      </c>
    </row>
    <row r="41" spans="1:9" x14ac:dyDescent="0.25">
      <c r="A41" t="s">
        <v>128</v>
      </c>
      <c r="B41" t="str">
        <f>INDEX(Sheet1!$A:$A,MATCH(A41,Sheet1!$B:$B,0))</f>
        <v>VCU Rams</v>
      </c>
      <c r="C41">
        <v>41.1</v>
      </c>
      <c r="D41">
        <v>8.4</v>
      </c>
      <c r="E41">
        <v>1.9</v>
      </c>
      <c r="F41">
        <v>0.4</v>
      </c>
      <c r="G41">
        <v>0.09</v>
      </c>
      <c r="H41">
        <v>0.01</v>
      </c>
      <c r="I41">
        <f t="shared" si="0"/>
        <v>1.5188999999999999</v>
      </c>
    </row>
    <row r="42" spans="1:9" x14ac:dyDescent="0.25">
      <c r="A42" t="s">
        <v>104</v>
      </c>
      <c r="B42" t="str">
        <f>INDEX(Sheet1!$A:$A,MATCH(A42,Sheet1!$B:$B,0))</f>
        <v>TCU Horned Frogs</v>
      </c>
      <c r="C42">
        <v>39</v>
      </c>
      <c r="D42">
        <v>4.3</v>
      </c>
      <c r="E42">
        <v>1.5</v>
      </c>
      <c r="F42">
        <v>0.5</v>
      </c>
      <c r="G42">
        <v>0.08</v>
      </c>
      <c r="H42">
        <v>0.01</v>
      </c>
      <c r="I42">
        <f t="shared" si="0"/>
        <v>1.4538</v>
      </c>
    </row>
    <row r="43" spans="1:9" x14ac:dyDescent="0.25">
      <c r="A43" t="s">
        <v>90</v>
      </c>
      <c r="B43" t="str">
        <f>INDEX(Sheet1!$A:$A,MATCH(A43,Sheet1!$B:$B,0))</f>
        <v>SMU Mustangs</v>
      </c>
      <c r="C43">
        <v>23.2</v>
      </c>
      <c r="D43">
        <v>7.9</v>
      </c>
      <c r="E43">
        <v>2</v>
      </c>
      <c r="F43">
        <v>0.4</v>
      </c>
      <c r="G43">
        <v>0.08</v>
      </c>
      <c r="H43">
        <v>0.01</v>
      </c>
      <c r="I43">
        <f t="shared" si="0"/>
        <v>1.3358000000000001</v>
      </c>
    </row>
    <row r="44" spans="1:9" x14ac:dyDescent="0.25">
      <c r="A44" t="s">
        <v>100</v>
      </c>
      <c r="B44" t="str">
        <f>INDEX(Sheet1!$A:$A,MATCH(A44,Sheet1!$B:$B,0))</f>
        <v>South Florida Bulls</v>
      </c>
      <c r="C44">
        <v>27.7</v>
      </c>
      <c r="D44">
        <v>7.4</v>
      </c>
      <c r="E44">
        <v>2.2000000000000002</v>
      </c>
      <c r="F44">
        <v>0.3</v>
      </c>
      <c r="G44">
        <v>0.05</v>
      </c>
      <c r="H44">
        <v>6.0000000000000001E-3</v>
      </c>
      <c r="I44">
        <f t="shared" si="0"/>
        <v>1.3765000000000001</v>
      </c>
    </row>
    <row r="45" spans="1:9" x14ac:dyDescent="0.25">
      <c r="A45" t="s">
        <v>68</v>
      </c>
      <c r="B45" t="str">
        <f>INDEX(Sheet1!$A:$A,MATCH(A45,Sheet1!$B:$B,0))</f>
        <v>Missouri Tigers</v>
      </c>
      <c r="C45">
        <v>37.299999999999997</v>
      </c>
      <c r="D45">
        <v>7.3</v>
      </c>
      <c r="E45">
        <v>1.9</v>
      </c>
      <c r="F45">
        <v>0.3</v>
      </c>
      <c r="G45">
        <v>0.05</v>
      </c>
      <c r="H45">
        <v>3.0000000000000001E-3</v>
      </c>
      <c r="I45">
        <f t="shared" si="0"/>
        <v>1.4685000000000001</v>
      </c>
    </row>
    <row r="46" spans="1:9" x14ac:dyDescent="0.25">
      <c r="A46" t="s">
        <v>58</v>
      </c>
      <c r="B46" t="str">
        <f>INDEX(Sheet1!$A:$A,MATCH(A46,Sheet1!$B:$B,0))</f>
        <v>McNeese Cowboys</v>
      </c>
      <c r="C46">
        <v>17.7</v>
      </c>
      <c r="D46">
        <v>4.4000000000000004</v>
      </c>
      <c r="E46">
        <v>0.6</v>
      </c>
      <c r="F46">
        <v>0.08</v>
      </c>
      <c r="G46">
        <v>0.01</v>
      </c>
      <c r="H46">
        <v>2E-3</v>
      </c>
      <c r="I46">
        <f t="shared" si="0"/>
        <v>1.2279</v>
      </c>
    </row>
    <row r="47" spans="1:9" x14ac:dyDescent="0.25">
      <c r="A47" t="s">
        <v>4</v>
      </c>
      <c r="B47" t="str">
        <f>INDEX(Sheet1!$A:$A,MATCH(A47,Sheet1!$B:$B,0))</f>
        <v>Akron Zips</v>
      </c>
      <c r="C47">
        <v>21.8</v>
      </c>
      <c r="D47">
        <v>5.4</v>
      </c>
      <c r="E47">
        <v>0.4</v>
      </c>
      <c r="F47">
        <v>7.0000000000000007E-2</v>
      </c>
      <c r="G47">
        <v>8.9999999999999993E-3</v>
      </c>
      <c r="H47">
        <v>2E-3</v>
      </c>
      <c r="I47">
        <f t="shared" si="0"/>
        <v>1.2767900000000001</v>
      </c>
    </row>
    <row r="48" spans="1:9" x14ac:dyDescent="0.25">
      <c r="A48" t="s">
        <v>118</v>
      </c>
      <c r="B48" t="str">
        <f>INDEX(Sheet1!$A:$A,MATCH(A48,Sheet1!$B:$B,0))</f>
        <v>UCF Knights</v>
      </c>
      <c r="C48">
        <v>34.200000000000003</v>
      </c>
      <c r="D48">
        <v>8.4</v>
      </c>
      <c r="E48">
        <v>2.1</v>
      </c>
      <c r="F48">
        <v>0.3</v>
      </c>
      <c r="G48">
        <v>0.03</v>
      </c>
      <c r="H48">
        <v>1E-3</v>
      </c>
      <c r="I48">
        <f t="shared" si="0"/>
        <v>1.4503000000000001</v>
      </c>
    </row>
    <row r="49" spans="1:9" x14ac:dyDescent="0.25">
      <c r="A49" t="s">
        <v>78</v>
      </c>
      <c r="B49" t="str">
        <f>INDEX(Sheet1!$A:$A,MATCH(A49,Sheet1!$B:$B,0))</f>
        <v>Northern Iowa Panthers</v>
      </c>
      <c r="C49">
        <v>20.399999999999999</v>
      </c>
      <c r="D49">
        <v>5.8</v>
      </c>
      <c r="E49">
        <v>0.6</v>
      </c>
      <c r="F49">
        <v>0.1</v>
      </c>
      <c r="G49">
        <v>0.01</v>
      </c>
      <c r="H49">
        <v>1E-3</v>
      </c>
      <c r="I49">
        <f t="shared" si="0"/>
        <v>1.2690999999999999</v>
      </c>
    </row>
    <row r="50" spans="1:9" x14ac:dyDescent="0.25">
      <c r="A50" t="s">
        <v>32</v>
      </c>
      <c r="B50" t="str">
        <f>INDEX(Sheet1!$A:$A,MATCH(A50,Sheet1!$B:$B,0))</f>
        <v>Hofstra Pride</v>
      </c>
      <c r="C50">
        <v>15.1</v>
      </c>
      <c r="D50">
        <v>3.5</v>
      </c>
      <c r="E50">
        <v>0.2</v>
      </c>
      <c r="F50">
        <v>0.04</v>
      </c>
      <c r="G50">
        <v>7.0000000000000001E-3</v>
      </c>
      <c r="H50">
        <v>0</v>
      </c>
      <c r="I50">
        <f t="shared" si="0"/>
        <v>1.1884699999999999</v>
      </c>
    </row>
    <row r="51" spans="1:9" x14ac:dyDescent="0.25">
      <c r="A51" t="s">
        <v>14</v>
      </c>
      <c r="B51" t="str">
        <f>INDEX(Sheet1!$A:$A,MATCH(A51,Sheet1!$B:$B,0))</f>
        <v>California Baptist Lancers</v>
      </c>
      <c r="C51">
        <v>13.4</v>
      </c>
      <c r="D51">
        <v>2.1</v>
      </c>
      <c r="E51">
        <v>0.1</v>
      </c>
      <c r="F51">
        <v>0.02</v>
      </c>
      <c r="G51">
        <v>1E-3</v>
      </c>
      <c r="H51">
        <v>0</v>
      </c>
      <c r="I51">
        <f t="shared" si="0"/>
        <v>1.15621</v>
      </c>
    </row>
    <row r="52" spans="1:9" x14ac:dyDescent="0.25">
      <c r="A52" t="s">
        <v>30</v>
      </c>
      <c r="B52" t="str">
        <f>INDEX(Sheet1!$A:$A,MATCH(A52,Sheet1!$B:$B,0))</f>
        <v>High Point Panthers</v>
      </c>
      <c r="C52">
        <v>16.7</v>
      </c>
      <c r="D52">
        <v>2.8</v>
      </c>
      <c r="E52">
        <v>0.2</v>
      </c>
      <c r="F52">
        <v>0.02</v>
      </c>
      <c r="G52">
        <v>1E-3</v>
      </c>
      <c r="H52">
        <v>0</v>
      </c>
      <c r="I52">
        <f t="shared" si="0"/>
        <v>1.1972100000000001</v>
      </c>
    </row>
    <row r="53" spans="1:9" x14ac:dyDescent="0.25">
      <c r="A53" t="s">
        <v>28</v>
      </c>
      <c r="B53" t="str">
        <f>INDEX(Sheet1!$A:$A,MATCH(A53,Sheet1!$B:$B,0))</f>
        <v>Hawai'i Rainbow Warriors</v>
      </c>
      <c r="C53">
        <v>9.3000000000000007</v>
      </c>
      <c r="D53">
        <v>1.7</v>
      </c>
      <c r="E53">
        <v>7.0000000000000007E-2</v>
      </c>
      <c r="F53">
        <v>6.0000000000000001E-3</v>
      </c>
      <c r="G53">
        <v>1E-3</v>
      </c>
      <c r="H53">
        <v>0</v>
      </c>
      <c r="I53">
        <f t="shared" si="0"/>
        <v>1.11077</v>
      </c>
    </row>
    <row r="54" spans="1:9" x14ac:dyDescent="0.25">
      <c r="A54" t="s">
        <v>60</v>
      </c>
      <c r="B54" t="str">
        <f>INDEX(Sheet1!$A:$A,MATCH(A54,Sheet1!$B:$B,0))</f>
        <v>Miami (OH) RedHawks</v>
      </c>
      <c r="C54">
        <v>3.6</v>
      </c>
      <c r="D54">
        <v>0.6</v>
      </c>
      <c r="E54">
        <v>0.06</v>
      </c>
      <c r="F54">
        <v>7.0000000000000001E-3</v>
      </c>
      <c r="G54">
        <v>0</v>
      </c>
      <c r="H54">
        <v>0</v>
      </c>
      <c r="I54">
        <f t="shared" si="0"/>
        <v>1.04267</v>
      </c>
    </row>
    <row r="55" spans="1:9" x14ac:dyDescent="0.25">
      <c r="A55" t="s">
        <v>76</v>
      </c>
      <c r="B55" t="str">
        <f>INDEX(Sheet1!$A:$A,MATCH(A55,Sheet1!$B:$B,0))</f>
        <v>North Dakota State Bison</v>
      </c>
      <c r="C55">
        <v>8.4</v>
      </c>
      <c r="D55">
        <v>1.2</v>
      </c>
      <c r="E55">
        <v>0.1</v>
      </c>
      <c r="F55">
        <v>6.0000000000000001E-3</v>
      </c>
      <c r="G55">
        <v>0</v>
      </c>
      <c r="H55">
        <v>0</v>
      </c>
      <c r="I55">
        <f t="shared" si="0"/>
        <v>1.0970599999999999</v>
      </c>
    </row>
    <row r="56" spans="1:9" x14ac:dyDescent="0.25">
      <c r="A56" t="s">
        <v>138</v>
      </c>
      <c r="B56" t="str">
        <f>INDEX(Sheet1!$A:$A,MATCH(A56,Sheet1!$B:$B,0))</f>
        <v>Wright State Raiders</v>
      </c>
      <c r="C56">
        <v>6.9</v>
      </c>
      <c r="D56">
        <v>0.7</v>
      </c>
      <c r="E56">
        <v>0.04</v>
      </c>
      <c r="F56">
        <v>5.0000000000000001E-3</v>
      </c>
      <c r="G56">
        <v>0</v>
      </c>
      <c r="H56">
        <v>0</v>
      </c>
      <c r="I56">
        <f t="shared" si="0"/>
        <v>1.0764499999999999</v>
      </c>
    </row>
    <row r="57" spans="1:9" x14ac:dyDescent="0.25">
      <c r="A57" t="s">
        <v>116</v>
      </c>
      <c r="B57" t="str">
        <f>INDEX(Sheet1!$A:$A,MATCH(A57,Sheet1!$B:$B,0))</f>
        <v>Troy Trojans</v>
      </c>
      <c r="C57">
        <v>7.3</v>
      </c>
      <c r="D57">
        <v>0.7</v>
      </c>
      <c r="E57">
        <v>0.04</v>
      </c>
      <c r="F57">
        <v>3.0000000000000001E-3</v>
      </c>
      <c r="G57">
        <v>0</v>
      </c>
      <c r="H57">
        <v>0</v>
      </c>
      <c r="I57">
        <f t="shared" si="0"/>
        <v>1.08043</v>
      </c>
    </row>
    <row r="58" spans="1:9" x14ac:dyDescent="0.25">
      <c r="A58" t="s">
        <v>82</v>
      </c>
      <c r="B58" t="str">
        <f>INDEX(Sheet1!$A:$A,MATCH(A58,Sheet1!$B:$B,0))</f>
        <v>Pennsylvania Quakers</v>
      </c>
      <c r="C58">
        <v>3</v>
      </c>
      <c r="D58">
        <v>0.4</v>
      </c>
      <c r="E58">
        <v>0.02</v>
      </c>
      <c r="F58">
        <v>1E-3</v>
      </c>
      <c r="G58">
        <v>0</v>
      </c>
      <c r="H58">
        <v>0</v>
      </c>
      <c r="I58">
        <f t="shared" si="0"/>
        <v>1.0342100000000001</v>
      </c>
    </row>
    <row r="59" spans="1:9" x14ac:dyDescent="0.25">
      <c r="A59" t="s">
        <v>38</v>
      </c>
      <c r="B59" t="str">
        <f>INDEX(Sheet1!$A:$A,MATCH(A59,Sheet1!$B:$B,0))</f>
        <v>Idaho Vandals</v>
      </c>
      <c r="C59">
        <v>3.1</v>
      </c>
      <c r="D59">
        <v>0.4</v>
      </c>
      <c r="E59">
        <v>0.02</v>
      </c>
      <c r="F59">
        <v>1E-3</v>
      </c>
      <c r="G59">
        <v>0</v>
      </c>
      <c r="H59">
        <v>0</v>
      </c>
      <c r="I59">
        <f t="shared" si="0"/>
        <v>1.03521</v>
      </c>
    </row>
    <row r="60" spans="1:9" x14ac:dyDescent="0.25">
      <c r="A60" t="s">
        <v>98</v>
      </c>
      <c r="B60" t="str">
        <f>INDEX(Sheet1!$A:$A,MATCH(A60,Sheet1!$B:$B,0))</f>
        <v>Siena Saints</v>
      </c>
      <c r="C60">
        <v>0.9</v>
      </c>
      <c r="D60">
        <v>0.09</v>
      </c>
      <c r="E60">
        <v>6.0000000000000001E-3</v>
      </c>
      <c r="F60">
        <v>1E-3</v>
      </c>
      <c r="G60">
        <v>0</v>
      </c>
      <c r="H60">
        <v>0</v>
      </c>
      <c r="I60">
        <f t="shared" si="0"/>
        <v>1.00997</v>
      </c>
    </row>
    <row r="61" spans="1:9" x14ac:dyDescent="0.25">
      <c r="A61" t="s">
        <v>54</v>
      </c>
      <c r="B61" t="str">
        <f>INDEX(Sheet1!$A:$A,MATCH(A61,Sheet1!$B:$B,0))</f>
        <v>Long Island University Sharks</v>
      </c>
      <c r="C61">
        <v>0.4</v>
      </c>
      <c r="D61">
        <v>0.03</v>
      </c>
      <c r="E61">
        <v>2E-3</v>
      </c>
      <c r="F61">
        <v>1E-3</v>
      </c>
      <c r="G61">
        <v>0</v>
      </c>
      <c r="H61">
        <v>0</v>
      </c>
      <c r="I61">
        <f t="shared" si="0"/>
        <v>1.0043299999999999</v>
      </c>
    </row>
    <row r="62" spans="1:9" x14ac:dyDescent="0.25">
      <c r="A62" t="s">
        <v>22</v>
      </c>
      <c r="B62" t="str">
        <f>INDEX(Sheet1!$A:$A,MATCH(A62,Sheet1!$B:$B,0))</f>
        <v>Furman Paladins</v>
      </c>
      <c r="C62">
        <v>4.0999999999999996</v>
      </c>
      <c r="D62">
        <v>0.4</v>
      </c>
      <c r="E62">
        <v>0.02</v>
      </c>
      <c r="F62">
        <v>0</v>
      </c>
      <c r="G62">
        <v>0</v>
      </c>
      <c r="H62">
        <v>0</v>
      </c>
      <c r="I62">
        <f t="shared" si="0"/>
        <v>1.0451999999999999</v>
      </c>
    </row>
    <row r="63" spans="1:9" x14ac:dyDescent="0.25">
      <c r="A63" t="s">
        <v>48</v>
      </c>
      <c r="B63" t="str">
        <f>INDEX(Sheet1!$A:$A,MATCH(A63,Sheet1!$B:$B,0))</f>
        <v>Kennesaw State Owls</v>
      </c>
      <c r="C63">
        <v>3.7</v>
      </c>
      <c r="D63">
        <v>0.3</v>
      </c>
      <c r="E63">
        <v>0.01</v>
      </c>
      <c r="F63">
        <v>0</v>
      </c>
      <c r="G63">
        <v>0</v>
      </c>
      <c r="H63">
        <v>0</v>
      </c>
      <c r="I63">
        <f t="shared" si="0"/>
        <v>1.0401</v>
      </c>
    </row>
    <row r="64" spans="1:9" x14ac:dyDescent="0.25">
      <c r="A64" t="s">
        <v>88</v>
      </c>
      <c r="B64" t="str">
        <f>INDEX(Sheet1!$A:$A,MATCH(A64,Sheet1!$B:$B,0))</f>
        <v>Queens University Royals</v>
      </c>
      <c r="C64">
        <v>2.4</v>
      </c>
      <c r="D64">
        <v>0.3</v>
      </c>
      <c r="E64">
        <v>0.01</v>
      </c>
      <c r="F64">
        <v>0</v>
      </c>
      <c r="G64">
        <v>0</v>
      </c>
      <c r="H64">
        <v>0</v>
      </c>
      <c r="I64">
        <f t="shared" si="0"/>
        <v>1.0270999999999999</v>
      </c>
    </row>
    <row r="65" spans="1:9" x14ac:dyDescent="0.25">
      <c r="A65" t="s">
        <v>106</v>
      </c>
      <c r="B65" t="str">
        <f>INDEX(Sheet1!$A:$A,MATCH(A65,Sheet1!$B:$B,0))</f>
        <v>Tennessee State Tigers</v>
      </c>
      <c r="C65">
        <v>1.6</v>
      </c>
      <c r="D65">
        <v>0.1</v>
      </c>
      <c r="E65">
        <v>8.9999999999999993E-3</v>
      </c>
      <c r="F65">
        <v>0</v>
      </c>
      <c r="G65">
        <v>0</v>
      </c>
      <c r="H65">
        <v>0</v>
      </c>
      <c r="I65">
        <f t="shared" si="0"/>
        <v>1.01709</v>
      </c>
    </row>
    <row r="66" spans="1:9" x14ac:dyDescent="0.25">
      <c r="A66" t="s">
        <v>124</v>
      </c>
      <c r="B66" t="str">
        <f>INDEX(Sheet1!$A:$A,MATCH(A66,Sheet1!$B:$B,0))</f>
        <v>UMBC Retrievers</v>
      </c>
      <c r="C66">
        <v>0.3</v>
      </c>
      <c r="D66">
        <v>0.02</v>
      </c>
      <c r="E66">
        <v>2E-3</v>
      </c>
      <c r="F66">
        <v>0</v>
      </c>
      <c r="G66">
        <v>0</v>
      </c>
      <c r="H66">
        <v>0</v>
      </c>
      <c r="I66">
        <f t="shared" si="0"/>
        <v>1.00322</v>
      </c>
    </row>
    <row r="67" spans="1:9" x14ac:dyDescent="0.25">
      <c r="A67" t="s">
        <v>36</v>
      </c>
      <c r="B67" t="str">
        <f>INDEX(Sheet1!$A:$A,MATCH(A67,Sheet1!$B:$B,0))</f>
        <v>Howard Bison</v>
      </c>
      <c r="C67">
        <v>0.2</v>
      </c>
      <c r="D67">
        <v>0.02</v>
      </c>
      <c r="E67">
        <v>1E-3</v>
      </c>
      <c r="F67">
        <v>0</v>
      </c>
      <c r="G67">
        <v>0</v>
      </c>
      <c r="H67">
        <v>0</v>
      </c>
      <c r="I67">
        <f t="shared" ref="I67:I69" si="1">C67/100+D67/100+E67/100+F67/100+G67/100+1</f>
        <v>1.00221</v>
      </c>
    </row>
    <row r="68" spans="1:9" x14ac:dyDescent="0.25">
      <c r="A68" t="s">
        <v>52</v>
      </c>
      <c r="B68" t="str">
        <f>INDEX(Sheet1!$A:$A,MATCH(A68,Sheet1!$B:$B,0))</f>
        <v>Lehigh Mountain Hawks</v>
      </c>
      <c r="C68">
        <v>0.1</v>
      </c>
      <c r="D68">
        <v>5.0000000000000001E-3</v>
      </c>
      <c r="E68">
        <v>0</v>
      </c>
      <c r="F68">
        <v>0</v>
      </c>
      <c r="G68">
        <v>0</v>
      </c>
      <c r="H68">
        <v>0</v>
      </c>
      <c r="I68">
        <f t="shared" si="1"/>
        <v>1.00105</v>
      </c>
    </row>
    <row r="69" spans="1:9" x14ac:dyDescent="0.25">
      <c r="A69" t="s">
        <v>84</v>
      </c>
      <c r="B69" t="str">
        <f>INDEX(Sheet1!$A:$A,MATCH(A69,Sheet1!$B:$B,0))</f>
        <v>Prairie View A&amp;M Panthers</v>
      </c>
      <c r="C69">
        <v>0.08</v>
      </c>
      <c r="D69">
        <v>3.0000000000000001E-3</v>
      </c>
      <c r="E69">
        <v>0</v>
      </c>
      <c r="F69">
        <v>0</v>
      </c>
      <c r="G69">
        <v>0</v>
      </c>
      <c r="H69">
        <v>0</v>
      </c>
      <c r="I69">
        <f t="shared" si="1"/>
        <v>1.0008300000000001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DiCello</dc:creator>
  <cp:lastModifiedBy>John DiCello</cp:lastModifiedBy>
  <dcterms:created xsi:type="dcterms:W3CDTF">2026-03-16T18:24:53Z</dcterms:created>
  <dcterms:modified xsi:type="dcterms:W3CDTF">2026-03-16T18:33:07Z</dcterms:modified>
</cp:coreProperties>
</file>